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00" yWindow="60" windowWidth="19395" windowHeight="7845" activeTab="3"/>
  </bookViews>
  <sheets>
    <sheet name="테이블설계" sheetId="1" r:id="rId1"/>
    <sheet name="게시판분류" sheetId="2" r:id="rId2"/>
    <sheet name="게시판종류" sheetId="3" r:id="rId3"/>
    <sheet name="게시판" sheetId="4" r:id="rId4"/>
  </sheets>
  <calcPr calcId="125725"/>
</workbook>
</file>

<file path=xl/calcChain.xml><?xml version="1.0" encoding="utf-8"?>
<calcChain xmlns="http://schemas.openxmlformats.org/spreadsheetml/2006/main">
  <c r="J4" i="1"/>
  <c r="K4" s="1"/>
  <c r="H4"/>
</calcChain>
</file>

<file path=xl/sharedStrings.xml><?xml version="1.0" encoding="utf-8"?>
<sst xmlns="http://schemas.openxmlformats.org/spreadsheetml/2006/main" count="225" uniqueCount="125">
  <si>
    <t>테이블명(영문)</t>
    <phoneticPr fontId="2" type="noConversion"/>
  </si>
  <si>
    <t>테이블명(한글)</t>
    <phoneticPr fontId="2" type="noConversion"/>
  </si>
  <si>
    <t>테이블코드</t>
    <phoneticPr fontId="2" type="noConversion"/>
  </si>
  <si>
    <t>테이블스페이스</t>
    <phoneticPr fontId="2" type="noConversion"/>
  </si>
  <si>
    <t>파티션</t>
    <phoneticPr fontId="2" type="noConversion"/>
  </si>
  <si>
    <t>평균행길이(Byte)</t>
    <phoneticPr fontId="2" type="noConversion"/>
  </si>
  <si>
    <t>초기데이터수</t>
    <phoneticPr fontId="2" type="noConversion"/>
  </si>
  <si>
    <t>데이터크기(K)</t>
    <phoneticPr fontId="2" type="noConversion"/>
  </si>
  <si>
    <t>월간데이터수</t>
    <phoneticPr fontId="2" type="noConversion"/>
  </si>
  <si>
    <t>ROW/BLOCK</t>
    <phoneticPr fontId="2" type="noConversion"/>
  </si>
  <si>
    <t>테이블크기(K)</t>
    <phoneticPr fontId="2" type="noConversion"/>
  </si>
  <si>
    <t>INITIAL(K)</t>
    <phoneticPr fontId="2" type="noConversion"/>
  </si>
  <si>
    <t>NEXT(K)</t>
    <phoneticPr fontId="2" type="noConversion"/>
  </si>
  <si>
    <t>PCTINCREASE</t>
    <phoneticPr fontId="2" type="noConversion"/>
  </si>
  <si>
    <t>MINEXTENTS</t>
    <phoneticPr fontId="2" type="noConversion"/>
  </si>
  <si>
    <t>MAXEXTENTS</t>
    <phoneticPr fontId="2" type="noConversion"/>
  </si>
  <si>
    <t>PCTFREE</t>
    <phoneticPr fontId="2" type="noConversion"/>
  </si>
  <si>
    <t>PCTUSED</t>
    <phoneticPr fontId="2" type="noConversion"/>
  </si>
  <si>
    <t>INITRANS</t>
    <phoneticPr fontId="2" type="noConversion"/>
  </si>
  <si>
    <t>REDO LOG</t>
    <phoneticPr fontId="2" type="noConversion"/>
  </si>
  <si>
    <t>CACHE</t>
    <phoneticPr fontId="2" type="noConversion"/>
  </si>
  <si>
    <t>BUFFER POOL</t>
    <phoneticPr fontId="2" type="noConversion"/>
  </si>
  <si>
    <t>Sequence</t>
    <phoneticPr fontId="2" type="noConversion"/>
  </si>
  <si>
    <t>start</t>
    <phoneticPr fontId="2" type="noConversion"/>
  </si>
  <si>
    <t>increment</t>
    <phoneticPr fontId="2" type="noConversion"/>
  </si>
  <si>
    <t>cache</t>
    <phoneticPr fontId="2" type="noConversion"/>
  </si>
  <si>
    <t>cycle</t>
    <phoneticPr fontId="2" type="noConversion"/>
  </si>
  <si>
    <t>max</t>
    <phoneticPr fontId="2" type="noConversion"/>
  </si>
  <si>
    <t>min</t>
    <phoneticPr fontId="2" type="noConversion"/>
  </si>
  <si>
    <t>SUP_ORDER</t>
    <phoneticPr fontId="2" type="noConversion"/>
  </si>
  <si>
    <t>발주목록</t>
    <phoneticPr fontId="2" type="noConversion"/>
  </si>
  <si>
    <t>SOD</t>
    <phoneticPr fontId="2" type="noConversion"/>
  </si>
  <si>
    <t>SW_LIB_LGT</t>
    <phoneticPr fontId="2" type="noConversion"/>
  </si>
  <si>
    <t>unlimited</t>
    <phoneticPr fontId="2" type="noConversion"/>
  </si>
  <si>
    <t>Y</t>
    <phoneticPr fontId="2" type="noConversion"/>
  </si>
  <si>
    <t>N</t>
    <phoneticPr fontId="2" type="noConversion"/>
  </si>
  <si>
    <t>Default</t>
    <phoneticPr fontId="2" type="noConversion"/>
  </si>
  <si>
    <t>SOD_NO_SEQ</t>
    <phoneticPr fontId="2" type="noConversion"/>
  </si>
  <si>
    <t>테이블 명(영문)</t>
    <phoneticPr fontId="2" type="noConversion"/>
  </si>
  <si>
    <t>DB 사용자 계정</t>
    <phoneticPr fontId="2" type="noConversion"/>
  </si>
  <si>
    <t>테이블 명(한글)</t>
    <phoneticPr fontId="2" type="noConversion"/>
  </si>
  <si>
    <t>약칭</t>
    <phoneticPr fontId="2" type="noConversion"/>
  </si>
  <si>
    <t>테이블 설명</t>
  </si>
  <si>
    <t>수정이력</t>
    <phoneticPr fontId="2" type="noConversion"/>
  </si>
  <si>
    <t>비고</t>
    <phoneticPr fontId="2" type="noConversion"/>
  </si>
  <si>
    <t>한글컬럼</t>
    <phoneticPr fontId="2" type="noConversion"/>
  </si>
  <si>
    <t>영문 컬럼</t>
    <phoneticPr fontId="2" type="noConversion"/>
  </si>
  <si>
    <t>Data Type</t>
    <phoneticPr fontId="2" type="noConversion"/>
  </si>
  <si>
    <t>길이</t>
    <phoneticPr fontId="2" type="noConversion"/>
  </si>
  <si>
    <t>제약조건</t>
    <phoneticPr fontId="2" type="noConversion"/>
  </si>
  <si>
    <t>F.K 테이블</t>
    <phoneticPr fontId="2" type="noConversion"/>
  </si>
  <si>
    <t>F.K 컬럼</t>
    <phoneticPr fontId="2" type="noConversion"/>
  </si>
  <si>
    <t>기본값</t>
    <phoneticPr fontId="2" type="noConversion"/>
  </si>
  <si>
    <t>설명</t>
    <phoneticPr fontId="2" type="noConversion"/>
  </si>
  <si>
    <t>Type</t>
    <phoneticPr fontId="2" type="noConversion"/>
  </si>
  <si>
    <t>조건명</t>
    <phoneticPr fontId="2" type="noConversion"/>
  </si>
  <si>
    <t>컬럼</t>
    <phoneticPr fontId="2" type="noConversion"/>
  </si>
  <si>
    <t>Primary Key</t>
    <phoneticPr fontId="2" type="noConversion"/>
  </si>
  <si>
    <t>board_type</t>
    <phoneticPr fontId="2" type="noConversion"/>
  </si>
  <si>
    <t>cyller</t>
    <phoneticPr fontId="2" type="noConversion"/>
  </si>
  <si>
    <t>bty</t>
    <phoneticPr fontId="2" type="noConversion"/>
  </si>
  <si>
    <t>게시판분류</t>
    <phoneticPr fontId="2" type="noConversion"/>
  </si>
  <si>
    <t>최초 작성 : 2015.08.17</t>
    <phoneticPr fontId="2" type="noConversion"/>
  </si>
  <si>
    <t>InnoDB</t>
    <phoneticPr fontId="2" type="noConversion"/>
  </si>
  <si>
    <t>CHARSET</t>
    <phoneticPr fontId="2" type="noConversion"/>
  </si>
  <si>
    <t>euckr</t>
    <phoneticPr fontId="2" type="noConversion"/>
  </si>
  <si>
    <t>ENGINE</t>
    <phoneticPr fontId="2" type="noConversion"/>
  </si>
  <si>
    <t>분류명</t>
    <phoneticPr fontId="2" type="noConversion"/>
  </si>
  <si>
    <t>분류번호(코드)</t>
    <phoneticPr fontId="2" type="noConversion"/>
  </si>
  <si>
    <t>사용자아이디</t>
    <phoneticPr fontId="2" type="noConversion"/>
  </si>
  <si>
    <t>보이기여부</t>
    <phoneticPr fontId="2" type="noConversion"/>
  </si>
  <si>
    <t>bty_id</t>
    <phoneticPr fontId="2" type="noConversion"/>
  </si>
  <si>
    <t>bty_title</t>
    <phoneticPr fontId="2" type="noConversion"/>
  </si>
  <si>
    <t>bty_mem_id</t>
    <phoneticPr fontId="2" type="noConversion"/>
  </si>
  <si>
    <t>bty_display</t>
    <phoneticPr fontId="2" type="noConversion"/>
  </si>
  <si>
    <t>int</t>
    <phoneticPr fontId="2" type="noConversion"/>
  </si>
  <si>
    <t>varchar</t>
    <phoneticPr fontId="2" type="noConversion"/>
  </si>
  <si>
    <t>PK</t>
    <phoneticPr fontId="2" type="noConversion"/>
  </si>
  <si>
    <t>auto_increment</t>
    <phoneticPr fontId="2" type="noConversion"/>
  </si>
  <si>
    <t>pk_bty_id</t>
    <phoneticPr fontId="2" type="noConversion"/>
  </si>
  <si>
    <t>bty_id</t>
    <phoneticPr fontId="2" type="noConversion"/>
  </si>
  <si>
    <t>Index</t>
    <phoneticPr fontId="2" type="noConversion"/>
  </si>
  <si>
    <t>idx_bty_mem_id</t>
    <phoneticPr fontId="2" type="noConversion"/>
  </si>
  <si>
    <t>board_part</t>
    <phoneticPr fontId="2" type="noConversion"/>
  </si>
  <si>
    <t>bpt_id</t>
    <phoneticPr fontId="2" type="noConversion"/>
  </si>
  <si>
    <t>bpt_title</t>
    <phoneticPr fontId="2" type="noConversion"/>
  </si>
  <si>
    <t>bpt_bty_id</t>
    <phoneticPr fontId="2" type="noConversion"/>
  </si>
  <si>
    <t>bpt_display</t>
    <phoneticPr fontId="2" type="noConversion"/>
  </si>
  <si>
    <t>FK</t>
    <phoneticPr fontId="2" type="noConversion"/>
  </si>
  <si>
    <t>종류번호(코드)</t>
    <phoneticPr fontId="2" type="noConversion"/>
  </si>
  <si>
    <t>종류명</t>
    <phoneticPr fontId="2" type="noConversion"/>
  </si>
  <si>
    <t>pk_bpt_id</t>
    <phoneticPr fontId="2" type="noConversion"/>
  </si>
  <si>
    <t>idx_bpt_bty_id</t>
    <phoneticPr fontId="2" type="noConversion"/>
  </si>
  <si>
    <t>bpt_bty_id</t>
    <phoneticPr fontId="2" type="noConversion"/>
  </si>
  <si>
    <t>board</t>
    <phoneticPr fontId="2" type="noConversion"/>
  </si>
  <si>
    <t>b</t>
    <phoneticPr fontId="2" type="noConversion"/>
  </si>
  <si>
    <t>게시판</t>
    <phoneticPr fontId="2" type="noConversion"/>
  </si>
  <si>
    <t>등록번호</t>
    <phoneticPr fontId="2" type="noConversion"/>
  </si>
  <si>
    <t>제목</t>
    <phoneticPr fontId="2" type="noConversion"/>
  </si>
  <si>
    <t>내용</t>
    <phoneticPr fontId="2" type="noConversion"/>
  </si>
  <si>
    <t>등록일</t>
    <phoneticPr fontId="2" type="noConversion"/>
  </si>
  <si>
    <t>등록시간</t>
    <phoneticPr fontId="2" type="noConversion"/>
  </si>
  <si>
    <t>사용자아이디</t>
    <phoneticPr fontId="2" type="noConversion"/>
  </si>
  <si>
    <t>조회수</t>
    <phoneticPr fontId="2" type="noConversion"/>
  </si>
  <si>
    <t>최종수정일시</t>
    <phoneticPr fontId="2" type="noConversion"/>
  </si>
  <si>
    <t>b_id</t>
    <phoneticPr fontId="2" type="noConversion"/>
  </si>
  <si>
    <t>b_bty_id</t>
    <phoneticPr fontId="2" type="noConversion"/>
  </si>
  <si>
    <t>b_bpt_id</t>
    <phoneticPr fontId="2" type="noConversion"/>
  </si>
  <si>
    <t>b_title</t>
    <phoneticPr fontId="2" type="noConversion"/>
  </si>
  <si>
    <t>b_contents</t>
    <phoneticPr fontId="2" type="noConversion"/>
  </si>
  <si>
    <t>b_reg_date</t>
    <phoneticPr fontId="2" type="noConversion"/>
  </si>
  <si>
    <t>b_reg_time</t>
    <phoneticPr fontId="2" type="noConversion"/>
  </si>
  <si>
    <t>b_mem_id</t>
    <phoneticPr fontId="2" type="noConversion"/>
  </si>
  <si>
    <t>b_hit</t>
    <phoneticPr fontId="2" type="noConversion"/>
  </si>
  <si>
    <t>b_modi_dt</t>
    <phoneticPr fontId="2" type="noConversion"/>
  </si>
  <si>
    <t>b_display</t>
    <phoneticPr fontId="2" type="noConversion"/>
  </si>
  <si>
    <t>bpt_id</t>
    <phoneticPr fontId="2" type="noConversion"/>
  </si>
  <si>
    <t>text</t>
    <phoneticPr fontId="2" type="noConversion"/>
  </si>
  <si>
    <t>datetime</t>
    <phoneticPr fontId="2" type="noConversion"/>
  </si>
  <si>
    <t>pk_b_id</t>
    <phoneticPr fontId="2" type="noConversion"/>
  </si>
  <si>
    <t>b_id</t>
    <phoneticPr fontId="2" type="noConversion"/>
  </si>
  <si>
    <t>idx_b_bty_id</t>
    <phoneticPr fontId="2" type="noConversion"/>
  </si>
  <si>
    <t>b_bty_id</t>
    <phoneticPr fontId="2" type="noConversion"/>
  </si>
  <si>
    <t>idx_b_bpt_id</t>
    <phoneticPr fontId="2" type="noConversion"/>
  </si>
  <si>
    <t>idx_b_mem_id</t>
    <phoneticPr fontId="2" type="noConversion"/>
  </si>
</sst>
</file>

<file path=xl/styles.xml><?xml version="1.0" encoding="utf-8"?>
<styleSheet xmlns="http://schemas.openxmlformats.org/spreadsheetml/2006/main">
  <numFmts count="2">
    <numFmt numFmtId="176" formatCode="#,##0_ "/>
    <numFmt numFmtId="177" formatCode="#,##0_);[Red]\(#,##0\)"/>
  </numFmts>
  <fonts count="6">
    <font>
      <sz val="11"/>
      <color theme="1"/>
      <name val="맑은 고딕"/>
      <family val="2"/>
      <charset val="129"/>
      <scheme val="minor"/>
    </font>
    <font>
      <sz val="9"/>
      <color theme="1"/>
      <name val="굴림"/>
      <family val="3"/>
      <charset val="129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</font>
    <font>
      <sz val="9"/>
      <color rgb="FF3333FF"/>
      <name val="굴림"/>
      <family val="3"/>
      <charset val="129"/>
    </font>
    <font>
      <b/>
      <sz val="9"/>
      <color theme="1"/>
      <name val="굴림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5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177" fontId="1" fillId="2" borderId="1" xfId="0" applyNumberFormat="1" applyFont="1" applyFill="1" applyBorder="1" applyAlignment="1">
      <alignment horizontal="center" vertical="center"/>
    </xf>
    <xf numFmtId="176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4" fillId="0" borderId="1" xfId="1" applyFont="1" applyBorder="1" applyAlignment="1" applyProtection="1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right" vertical="center"/>
    </xf>
    <xf numFmtId="177" fontId="1" fillId="0" borderId="1" xfId="0" applyNumberFormat="1" applyFont="1" applyBorder="1" applyAlignment="1">
      <alignment horizontal="right" vertical="center"/>
    </xf>
    <xf numFmtId="176" fontId="1" fillId="0" borderId="1" xfId="0" applyNumberFormat="1" applyFont="1" applyBorder="1" applyAlignment="1">
      <alignment horizontal="center" vertical="center"/>
    </xf>
    <xf numFmtId="0" fontId="5" fillId="4" borderId="1" xfId="0" applyFont="1" applyFill="1" applyBorder="1">
      <alignment vertical="center"/>
    </xf>
    <xf numFmtId="0" fontId="5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left" vertical="center"/>
    </xf>
    <xf numFmtId="0" fontId="5" fillId="0" borderId="5" xfId="0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5" fillId="0" borderId="5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5" fillId="4" borderId="1" xfId="0" applyFont="1" applyFill="1" applyBorder="1" applyAlignment="1">
      <alignment vertical="center"/>
    </xf>
    <xf numFmtId="0" fontId="5" fillId="4" borderId="2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4"/>
  <sheetViews>
    <sheetView workbookViewId="0">
      <selection activeCell="D17" sqref="D17"/>
    </sheetView>
  </sheetViews>
  <sheetFormatPr defaultRowHeight="16.5"/>
  <sheetData>
    <row r="1" spans="1:29" s="1" customFormat="1" ht="15" customHeight="1">
      <c r="E1" s="2"/>
      <c r="F1" s="3"/>
      <c r="G1" s="4"/>
      <c r="H1" s="3"/>
      <c r="I1" s="4"/>
      <c r="J1" s="3"/>
      <c r="K1" s="3"/>
      <c r="L1" s="4"/>
      <c r="M1" s="4"/>
      <c r="N1" s="3"/>
      <c r="O1" s="5"/>
      <c r="P1" s="3"/>
      <c r="Q1" s="5"/>
      <c r="R1" s="5"/>
      <c r="S1" s="5"/>
      <c r="T1" s="2"/>
      <c r="U1" s="2"/>
      <c r="V1" s="2"/>
      <c r="W1" s="2"/>
      <c r="X1" s="5"/>
      <c r="Y1" s="2"/>
      <c r="Z1" s="2"/>
      <c r="AA1" s="2"/>
      <c r="AB1" s="5"/>
      <c r="AC1" s="2"/>
    </row>
    <row r="2" spans="1:29" s="1" customFormat="1" ht="15" customHeight="1">
      <c r="E2" s="2"/>
      <c r="F2" s="3"/>
      <c r="G2" s="4"/>
      <c r="H2" s="3"/>
      <c r="I2" s="4"/>
      <c r="J2" s="3"/>
      <c r="K2" s="3"/>
      <c r="L2" s="4"/>
      <c r="M2" s="4"/>
      <c r="N2" s="3"/>
      <c r="O2" s="5"/>
      <c r="P2" s="3"/>
      <c r="Q2" s="5"/>
      <c r="R2" s="5"/>
      <c r="S2" s="5"/>
      <c r="T2" s="2"/>
      <c r="U2" s="2"/>
      <c r="V2" s="2"/>
      <c r="W2" s="2"/>
      <c r="X2" s="5"/>
      <c r="Y2" s="2"/>
      <c r="Z2" s="2"/>
      <c r="AA2" s="2"/>
      <c r="AB2" s="5"/>
      <c r="AC2" s="2"/>
    </row>
    <row r="3" spans="1:29" s="2" customFormat="1" ht="15" customHeight="1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7" t="s">
        <v>5</v>
      </c>
      <c r="G3" s="8" t="s">
        <v>6</v>
      </c>
      <c r="H3" s="7" t="s">
        <v>7</v>
      </c>
      <c r="I3" s="8" t="s">
        <v>8</v>
      </c>
      <c r="J3" s="7" t="s">
        <v>9</v>
      </c>
      <c r="K3" s="7" t="s">
        <v>10</v>
      </c>
      <c r="L3" s="8" t="s">
        <v>11</v>
      </c>
      <c r="M3" s="8" t="s">
        <v>12</v>
      </c>
      <c r="N3" s="7" t="s">
        <v>13</v>
      </c>
      <c r="O3" s="7" t="s">
        <v>14</v>
      </c>
      <c r="P3" s="7" t="s">
        <v>15</v>
      </c>
      <c r="Q3" s="7" t="s">
        <v>16</v>
      </c>
      <c r="R3" s="7" t="s">
        <v>17</v>
      </c>
      <c r="S3" s="7" t="s">
        <v>18</v>
      </c>
      <c r="T3" s="6" t="s">
        <v>19</v>
      </c>
      <c r="U3" s="6" t="s">
        <v>20</v>
      </c>
      <c r="V3" s="6" t="s">
        <v>21</v>
      </c>
      <c r="W3" s="6" t="s">
        <v>22</v>
      </c>
      <c r="X3" s="9" t="s">
        <v>23</v>
      </c>
      <c r="Y3" s="10" t="s">
        <v>24</v>
      </c>
      <c r="Z3" s="10" t="s">
        <v>25</v>
      </c>
      <c r="AA3" s="10" t="s">
        <v>26</v>
      </c>
      <c r="AB3" s="9" t="s">
        <v>27</v>
      </c>
      <c r="AC3" s="10" t="s">
        <v>28</v>
      </c>
    </row>
    <row r="4" spans="1:29" s="1" customFormat="1" ht="15" customHeight="1">
      <c r="A4" s="11" t="s">
        <v>29</v>
      </c>
      <c r="B4" s="12" t="s">
        <v>30</v>
      </c>
      <c r="C4" s="12" t="s">
        <v>31</v>
      </c>
      <c r="D4" s="12" t="s">
        <v>32</v>
      </c>
      <c r="E4" s="13"/>
      <c r="F4" s="14">
        <v>80</v>
      </c>
      <c r="G4" s="15">
        <v>32000</v>
      </c>
      <c r="H4" s="14">
        <f t="shared" ref="H4" si="0">ROUNDUP(F4*G4/1024,0)</f>
        <v>2500</v>
      </c>
      <c r="I4" s="15">
        <v>800</v>
      </c>
      <c r="J4" s="14">
        <f t="shared" ref="J4" si="1">ROUNDDOWN((8108-(8112*Q4/100))/(F4+2),0)</f>
        <v>88</v>
      </c>
      <c r="K4" s="14">
        <f t="shared" ref="K4" si="2">ROUNDUP((G4/J4)*8192/1024,0)</f>
        <v>2910</v>
      </c>
      <c r="L4" s="15">
        <v>10000</v>
      </c>
      <c r="M4" s="15">
        <v>1000</v>
      </c>
      <c r="N4" s="14"/>
      <c r="O4" s="16">
        <v>1</v>
      </c>
      <c r="P4" s="14" t="s">
        <v>33</v>
      </c>
      <c r="Q4" s="16">
        <v>10</v>
      </c>
      <c r="R4" s="16">
        <v>60</v>
      </c>
      <c r="S4" s="16">
        <v>1</v>
      </c>
      <c r="T4" s="13" t="s">
        <v>34</v>
      </c>
      <c r="U4" s="13" t="s">
        <v>35</v>
      </c>
      <c r="V4" s="13" t="s">
        <v>36</v>
      </c>
      <c r="W4" s="13" t="s">
        <v>37</v>
      </c>
      <c r="X4" s="16">
        <v>1</v>
      </c>
      <c r="Y4" s="13">
        <v>1</v>
      </c>
      <c r="Z4" s="13"/>
      <c r="AA4" s="13"/>
      <c r="AB4" s="16"/>
      <c r="AC4" s="13"/>
    </row>
  </sheetData>
  <phoneticPr fontId="2" type="noConversion"/>
  <hyperlinks>
    <hyperlink ref="A4" location="발주목록!A1" display="SUP_ORDER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7"/>
  <sheetViews>
    <sheetView workbookViewId="0">
      <selection activeCell="C18" sqref="C18"/>
    </sheetView>
  </sheetViews>
  <sheetFormatPr defaultRowHeight="16.5"/>
  <cols>
    <col min="1" max="1" width="15" customWidth="1"/>
    <col min="2" max="2" width="18.125" customWidth="1"/>
    <col min="3" max="3" width="10.375" customWidth="1"/>
    <col min="4" max="4" width="6.625" customWidth="1"/>
    <col min="6" max="6" width="11.125" customWidth="1"/>
    <col min="7" max="7" width="12.5" customWidth="1"/>
    <col min="8" max="8" width="12.75" customWidth="1"/>
    <col min="9" max="9" width="22.25" customWidth="1"/>
  </cols>
  <sheetData>
    <row r="1" spans="1:9" s="1" customFormat="1" ht="20.100000000000001" customHeight="1">
      <c r="A1" s="17" t="s">
        <v>38</v>
      </c>
      <c r="B1" s="12" t="s">
        <v>58</v>
      </c>
      <c r="C1" s="22" t="s">
        <v>39</v>
      </c>
      <c r="D1" s="22"/>
      <c r="E1" s="20" t="s">
        <v>59</v>
      </c>
      <c r="F1" s="24" t="s">
        <v>66</v>
      </c>
      <c r="G1" s="19" t="s">
        <v>63</v>
      </c>
      <c r="H1" s="18" t="s">
        <v>64</v>
      </c>
      <c r="I1" s="19" t="s">
        <v>65</v>
      </c>
    </row>
    <row r="2" spans="1:9" s="1" customFormat="1" ht="20.100000000000001" customHeight="1">
      <c r="A2" s="17" t="s">
        <v>40</v>
      </c>
      <c r="B2" s="12" t="s">
        <v>61</v>
      </c>
      <c r="C2" s="47" t="s">
        <v>41</v>
      </c>
      <c r="D2" s="48"/>
      <c r="E2" s="20" t="s">
        <v>60</v>
      </c>
      <c r="F2" s="24" t="s">
        <v>42</v>
      </c>
      <c r="G2" s="21" t="s">
        <v>61</v>
      </c>
      <c r="H2" s="21"/>
      <c r="I2" s="21"/>
    </row>
    <row r="3" spans="1:9" s="1" customFormat="1" ht="20.100000000000001" customHeight="1">
      <c r="A3" s="46" t="s">
        <v>43</v>
      </c>
      <c r="B3" s="23" t="s">
        <v>62</v>
      </c>
      <c r="C3" s="23"/>
      <c r="D3" s="23"/>
      <c r="E3" s="25"/>
      <c r="F3" s="24" t="s">
        <v>44</v>
      </c>
      <c r="G3" s="23"/>
      <c r="H3" s="23"/>
      <c r="I3" s="23"/>
    </row>
    <row r="4" spans="1:9" s="1" customFormat="1" ht="20.100000000000001" customHeight="1">
      <c r="B4" s="26"/>
      <c r="C4" s="26"/>
      <c r="D4" s="27"/>
      <c r="E4" s="27"/>
      <c r="F4" s="26"/>
      <c r="G4" s="26"/>
      <c r="H4" s="27"/>
      <c r="I4" s="28"/>
    </row>
    <row r="5" spans="1:9" s="1" customFormat="1" ht="20.100000000000001" customHeight="1">
      <c r="A5" s="29" t="s">
        <v>45</v>
      </c>
      <c r="B5" s="29" t="s">
        <v>46</v>
      </c>
      <c r="C5" s="29" t="s">
        <v>47</v>
      </c>
      <c r="D5" s="29" t="s">
        <v>48</v>
      </c>
      <c r="E5" s="29" t="s">
        <v>49</v>
      </c>
      <c r="F5" s="29" t="s">
        <v>50</v>
      </c>
      <c r="G5" s="29" t="s">
        <v>51</v>
      </c>
      <c r="H5" s="29" t="s">
        <v>52</v>
      </c>
      <c r="I5" s="30" t="s">
        <v>53</v>
      </c>
    </row>
    <row r="6" spans="1:9" s="1" customFormat="1" ht="20.100000000000001" customHeight="1">
      <c r="A6" s="12" t="s">
        <v>68</v>
      </c>
      <c r="B6" s="12" t="s">
        <v>71</v>
      </c>
      <c r="C6" s="12" t="s">
        <v>75</v>
      </c>
      <c r="D6" s="13">
        <v>10</v>
      </c>
      <c r="E6" s="13" t="s">
        <v>77</v>
      </c>
      <c r="F6" s="12"/>
      <c r="G6" s="12"/>
      <c r="H6" s="13"/>
      <c r="I6" s="31" t="s">
        <v>78</v>
      </c>
    </row>
    <row r="7" spans="1:9" s="1" customFormat="1" ht="20.100000000000001" customHeight="1">
      <c r="A7" s="12" t="s">
        <v>67</v>
      </c>
      <c r="B7" s="12" t="s">
        <v>72</v>
      </c>
      <c r="C7" s="12" t="s">
        <v>76</v>
      </c>
      <c r="D7" s="13">
        <v>50</v>
      </c>
      <c r="E7" s="13"/>
      <c r="F7" s="12"/>
      <c r="G7" s="12"/>
      <c r="H7" s="13"/>
      <c r="I7" s="31"/>
    </row>
    <row r="8" spans="1:9" s="1" customFormat="1" ht="20.100000000000001" customHeight="1">
      <c r="A8" s="12" t="s">
        <v>69</v>
      </c>
      <c r="B8" s="12" t="s">
        <v>73</v>
      </c>
      <c r="C8" s="12" t="s">
        <v>76</v>
      </c>
      <c r="D8" s="13">
        <v>50</v>
      </c>
      <c r="E8" s="13"/>
      <c r="F8" s="12"/>
      <c r="G8" s="12"/>
      <c r="H8" s="13"/>
      <c r="I8" s="31"/>
    </row>
    <row r="9" spans="1:9" s="1" customFormat="1" ht="20.100000000000001" customHeight="1">
      <c r="A9" s="12" t="s">
        <v>70</v>
      </c>
      <c r="B9" s="12" t="s">
        <v>74</v>
      </c>
      <c r="C9" s="12" t="s">
        <v>76</v>
      </c>
      <c r="D9" s="13">
        <v>1</v>
      </c>
      <c r="E9" s="13"/>
      <c r="F9" s="12"/>
      <c r="G9" s="12"/>
      <c r="H9" s="13"/>
      <c r="I9" s="31"/>
    </row>
    <row r="10" spans="1:9" s="1" customFormat="1" ht="20.100000000000001" customHeight="1">
      <c r="A10" s="12"/>
      <c r="B10" s="12"/>
      <c r="C10" s="12"/>
      <c r="D10" s="13"/>
      <c r="E10" s="13"/>
      <c r="F10" s="12"/>
      <c r="G10" s="12"/>
      <c r="H10" s="13"/>
      <c r="I10" s="31"/>
    </row>
    <row r="11" spans="1:9" s="1" customFormat="1" ht="20.100000000000001" customHeight="1">
      <c r="B11"/>
      <c r="C11"/>
      <c r="D11" s="2"/>
      <c r="E11" s="2"/>
      <c r="H11" s="2"/>
      <c r="I11" s="32"/>
    </row>
    <row r="12" spans="1:9" s="1" customFormat="1" ht="20.100000000000001" customHeight="1">
      <c r="A12" s="33" t="s">
        <v>49</v>
      </c>
      <c r="B12" s="33"/>
      <c r="C12" s="33"/>
      <c r="D12" s="34"/>
      <c r="E12" s="34"/>
      <c r="F12" s="35"/>
      <c r="G12" s="35"/>
      <c r="H12" s="36"/>
      <c r="I12" s="35"/>
    </row>
    <row r="13" spans="1:9" s="1" customFormat="1" ht="20.100000000000001" customHeight="1">
      <c r="A13" s="37" t="s">
        <v>54</v>
      </c>
      <c r="B13" s="38" t="s">
        <v>55</v>
      </c>
      <c r="C13" s="38"/>
      <c r="D13" s="38" t="s">
        <v>56</v>
      </c>
      <c r="E13" s="38"/>
      <c r="F13" s="38"/>
      <c r="G13" s="39"/>
      <c r="H13" s="40"/>
    </row>
    <row r="14" spans="1:9" s="1" customFormat="1" ht="20.100000000000001" customHeight="1">
      <c r="A14" s="12" t="s">
        <v>57</v>
      </c>
      <c r="B14" s="41" t="s">
        <v>79</v>
      </c>
      <c r="C14" s="41"/>
      <c r="D14" s="41" t="s">
        <v>80</v>
      </c>
      <c r="E14" s="41"/>
      <c r="F14" s="41"/>
      <c r="G14" s="42"/>
      <c r="H14" s="43"/>
      <c r="I14" s="32"/>
    </row>
    <row r="15" spans="1:9" s="1" customFormat="1" ht="20.100000000000001" customHeight="1">
      <c r="A15" s="12" t="s">
        <v>81</v>
      </c>
      <c r="B15" s="41" t="s">
        <v>82</v>
      </c>
      <c r="C15" s="41"/>
      <c r="D15" s="41" t="s">
        <v>73</v>
      </c>
      <c r="E15" s="41"/>
      <c r="F15" s="41"/>
      <c r="G15" s="42"/>
      <c r="H15" s="43"/>
      <c r="I15" s="32"/>
    </row>
    <row r="16" spans="1:9" s="1" customFormat="1" ht="20.100000000000001" customHeight="1">
      <c r="A16" s="12"/>
      <c r="B16" s="41"/>
      <c r="C16" s="41"/>
      <c r="D16" s="41"/>
      <c r="E16" s="41"/>
      <c r="F16" s="41"/>
      <c r="G16" s="42"/>
      <c r="H16" s="43"/>
      <c r="I16" s="32"/>
    </row>
    <row r="17" spans="4:9" s="1" customFormat="1" ht="20.100000000000001" customHeight="1">
      <c r="D17" s="2"/>
      <c r="E17" s="2"/>
      <c r="H17" s="2"/>
      <c r="I17" s="32"/>
    </row>
  </sheetData>
  <mergeCells count="14">
    <mergeCell ref="B16:C16"/>
    <mergeCell ref="D16:F16"/>
    <mergeCell ref="G2:I2"/>
    <mergeCell ref="B3:E3"/>
    <mergeCell ref="G3:I3"/>
    <mergeCell ref="A12:E12"/>
    <mergeCell ref="B13:C13"/>
    <mergeCell ref="D13:F13"/>
    <mergeCell ref="B14:C14"/>
    <mergeCell ref="D14:F14"/>
    <mergeCell ref="B15:C15"/>
    <mergeCell ref="D15:F15"/>
    <mergeCell ref="C1:D1"/>
    <mergeCell ref="C2:D2"/>
  </mergeCells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7"/>
  <sheetViews>
    <sheetView workbookViewId="0">
      <selection activeCell="B18" sqref="B18"/>
    </sheetView>
  </sheetViews>
  <sheetFormatPr defaultRowHeight="16.5"/>
  <cols>
    <col min="1" max="1" width="15" customWidth="1"/>
    <col min="2" max="2" width="18.125" customWidth="1"/>
    <col min="3" max="3" width="10.375" customWidth="1"/>
    <col min="4" max="4" width="6.625" customWidth="1"/>
    <col min="6" max="6" width="11.125" customWidth="1"/>
    <col min="7" max="7" width="12.5" customWidth="1"/>
    <col min="8" max="8" width="12.75" customWidth="1"/>
    <col min="9" max="9" width="22.25" customWidth="1"/>
  </cols>
  <sheetData>
    <row r="1" spans="1:9" s="1" customFormat="1" ht="20.100000000000001" customHeight="1">
      <c r="A1" s="17" t="s">
        <v>38</v>
      </c>
      <c r="B1" s="12" t="s">
        <v>83</v>
      </c>
      <c r="C1" s="22" t="s">
        <v>39</v>
      </c>
      <c r="D1" s="22"/>
      <c r="E1" s="20" t="s">
        <v>59</v>
      </c>
      <c r="F1" s="24" t="s">
        <v>66</v>
      </c>
      <c r="G1" s="19" t="s">
        <v>63</v>
      </c>
      <c r="H1" s="18" t="s">
        <v>64</v>
      </c>
      <c r="I1" s="19" t="s">
        <v>65</v>
      </c>
    </row>
    <row r="2" spans="1:9" s="1" customFormat="1" ht="20.100000000000001" customHeight="1">
      <c r="A2" s="17" t="s">
        <v>40</v>
      </c>
      <c r="B2" s="12" t="s">
        <v>61</v>
      </c>
      <c r="C2" s="47" t="s">
        <v>41</v>
      </c>
      <c r="D2" s="48"/>
      <c r="E2" s="20" t="s">
        <v>60</v>
      </c>
      <c r="F2" s="24" t="s">
        <v>42</v>
      </c>
      <c r="G2" s="21" t="s">
        <v>61</v>
      </c>
      <c r="H2" s="21"/>
      <c r="I2" s="21"/>
    </row>
    <row r="3" spans="1:9" s="1" customFormat="1" ht="20.100000000000001" customHeight="1">
      <c r="A3" s="46" t="s">
        <v>43</v>
      </c>
      <c r="B3" s="23" t="s">
        <v>62</v>
      </c>
      <c r="C3" s="23"/>
      <c r="D3" s="23"/>
      <c r="E3" s="25"/>
      <c r="F3" s="24" t="s">
        <v>44</v>
      </c>
      <c r="G3" s="23"/>
      <c r="H3" s="23"/>
      <c r="I3" s="23"/>
    </row>
    <row r="4" spans="1:9" s="1" customFormat="1" ht="20.100000000000001" customHeight="1">
      <c r="B4" s="26"/>
      <c r="C4" s="26"/>
      <c r="D4" s="27"/>
      <c r="E4" s="27"/>
      <c r="F4" s="26"/>
      <c r="G4" s="26"/>
      <c r="H4" s="27"/>
      <c r="I4" s="28"/>
    </row>
    <row r="5" spans="1:9" s="1" customFormat="1" ht="20.100000000000001" customHeight="1">
      <c r="A5" s="29" t="s">
        <v>45</v>
      </c>
      <c r="B5" s="29" t="s">
        <v>46</v>
      </c>
      <c r="C5" s="29" t="s">
        <v>47</v>
      </c>
      <c r="D5" s="29" t="s">
        <v>48</v>
      </c>
      <c r="E5" s="29" t="s">
        <v>49</v>
      </c>
      <c r="F5" s="29" t="s">
        <v>50</v>
      </c>
      <c r="G5" s="29" t="s">
        <v>51</v>
      </c>
      <c r="H5" s="29" t="s">
        <v>52</v>
      </c>
      <c r="I5" s="30" t="s">
        <v>53</v>
      </c>
    </row>
    <row r="6" spans="1:9" s="1" customFormat="1" ht="20.100000000000001" customHeight="1">
      <c r="A6" s="12" t="s">
        <v>89</v>
      </c>
      <c r="B6" s="12" t="s">
        <v>84</v>
      </c>
      <c r="C6" s="12" t="s">
        <v>75</v>
      </c>
      <c r="D6" s="13">
        <v>10</v>
      </c>
      <c r="E6" s="13" t="s">
        <v>77</v>
      </c>
      <c r="F6" s="12"/>
      <c r="G6" s="12"/>
      <c r="H6" s="13"/>
      <c r="I6" s="31" t="s">
        <v>78</v>
      </c>
    </row>
    <row r="7" spans="1:9" s="1" customFormat="1" ht="20.100000000000001" customHeight="1">
      <c r="A7" s="12" t="s">
        <v>90</v>
      </c>
      <c r="B7" s="12" t="s">
        <v>85</v>
      </c>
      <c r="C7" s="12" t="s">
        <v>76</v>
      </c>
      <c r="D7" s="13">
        <v>50</v>
      </c>
      <c r="E7" s="13"/>
      <c r="F7" s="12"/>
      <c r="G7" s="12"/>
      <c r="H7" s="13"/>
      <c r="I7" s="31"/>
    </row>
    <row r="8" spans="1:9" s="1" customFormat="1" ht="20.100000000000001" customHeight="1">
      <c r="A8" s="12" t="s">
        <v>68</v>
      </c>
      <c r="B8" s="12" t="s">
        <v>86</v>
      </c>
      <c r="C8" s="12" t="s">
        <v>75</v>
      </c>
      <c r="D8" s="13">
        <v>10</v>
      </c>
      <c r="E8" s="13" t="s">
        <v>88</v>
      </c>
      <c r="F8" s="12" t="s">
        <v>58</v>
      </c>
      <c r="G8" s="12" t="s">
        <v>71</v>
      </c>
      <c r="H8" s="13"/>
      <c r="I8" s="31"/>
    </row>
    <row r="9" spans="1:9" s="1" customFormat="1" ht="20.100000000000001" customHeight="1">
      <c r="A9" s="12" t="s">
        <v>70</v>
      </c>
      <c r="B9" s="12" t="s">
        <v>87</v>
      </c>
      <c r="C9" s="12" t="s">
        <v>76</v>
      </c>
      <c r="D9" s="13">
        <v>1</v>
      </c>
      <c r="E9" s="13"/>
      <c r="F9" s="12"/>
      <c r="G9" s="12"/>
      <c r="H9" s="13"/>
      <c r="I9" s="31"/>
    </row>
    <row r="10" spans="1:9" s="1" customFormat="1" ht="20.100000000000001" customHeight="1">
      <c r="A10" s="12"/>
      <c r="B10" s="12"/>
      <c r="C10" s="12"/>
      <c r="D10" s="13"/>
      <c r="E10" s="13"/>
      <c r="F10" s="12"/>
      <c r="G10" s="12"/>
      <c r="H10" s="13"/>
      <c r="I10" s="31"/>
    </row>
    <row r="11" spans="1:9" s="1" customFormat="1" ht="20.100000000000001" customHeight="1">
      <c r="B11"/>
      <c r="C11"/>
      <c r="D11" s="2"/>
      <c r="E11" s="2"/>
      <c r="H11" s="2"/>
      <c r="I11" s="32"/>
    </row>
    <row r="12" spans="1:9" s="1" customFormat="1" ht="20.100000000000001" customHeight="1">
      <c r="A12" s="33" t="s">
        <v>49</v>
      </c>
      <c r="B12" s="33"/>
      <c r="C12" s="33"/>
      <c r="D12" s="34"/>
      <c r="E12" s="34"/>
      <c r="F12" s="35"/>
      <c r="G12" s="35"/>
      <c r="H12" s="36"/>
      <c r="I12" s="35"/>
    </row>
    <row r="13" spans="1:9" s="1" customFormat="1" ht="20.100000000000001" customHeight="1">
      <c r="A13" s="37" t="s">
        <v>54</v>
      </c>
      <c r="B13" s="38" t="s">
        <v>55</v>
      </c>
      <c r="C13" s="38"/>
      <c r="D13" s="38" t="s">
        <v>56</v>
      </c>
      <c r="E13" s="38"/>
      <c r="F13" s="38"/>
      <c r="G13" s="39"/>
      <c r="H13" s="40"/>
    </row>
    <row r="14" spans="1:9" s="1" customFormat="1" ht="20.100000000000001" customHeight="1">
      <c r="A14" s="12" t="s">
        <v>57</v>
      </c>
      <c r="B14" s="41" t="s">
        <v>91</v>
      </c>
      <c r="C14" s="41"/>
      <c r="D14" s="41" t="s">
        <v>84</v>
      </c>
      <c r="E14" s="41"/>
      <c r="F14" s="41"/>
      <c r="G14" s="42"/>
      <c r="H14" s="43"/>
      <c r="I14" s="32"/>
    </row>
    <row r="15" spans="1:9" s="1" customFormat="1" ht="20.100000000000001" customHeight="1">
      <c r="A15" s="12" t="s">
        <v>81</v>
      </c>
      <c r="B15" s="41" t="s">
        <v>92</v>
      </c>
      <c r="C15" s="41"/>
      <c r="D15" s="41" t="s">
        <v>93</v>
      </c>
      <c r="E15" s="41"/>
      <c r="F15" s="41"/>
      <c r="G15" s="42"/>
      <c r="H15" s="43"/>
      <c r="I15" s="32"/>
    </row>
    <row r="16" spans="1:9" s="1" customFormat="1" ht="20.100000000000001" customHeight="1">
      <c r="A16" s="12"/>
      <c r="B16" s="41"/>
      <c r="C16" s="41"/>
      <c r="D16" s="41"/>
      <c r="E16" s="41"/>
      <c r="F16" s="41"/>
      <c r="G16" s="42"/>
      <c r="H16" s="43"/>
      <c r="I16" s="32"/>
    </row>
    <row r="17" spans="4:9" s="1" customFormat="1" ht="20.100000000000001" customHeight="1">
      <c r="D17" s="2"/>
      <c r="E17" s="2"/>
      <c r="H17" s="2"/>
      <c r="I17" s="32"/>
    </row>
  </sheetData>
  <mergeCells count="14">
    <mergeCell ref="B16:C16"/>
    <mergeCell ref="D16:F16"/>
    <mergeCell ref="B13:C13"/>
    <mergeCell ref="D13:F13"/>
    <mergeCell ref="B14:C14"/>
    <mergeCell ref="D14:F14"/>
    <mergeCell ref="B15:C15"/>
    <mergeCell ref="D15:F15"/>
    <mergeCell ref="C1:D1"/>
    <mergeCell ref="C2:D2"/>
    <mergeCell ref="G2:I2"/>
    <mergeCell ref="B3:E3"/>
    <mergeCell ref="G3:I3"/>
    <mergeCell ref="A12:E12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4"/>
  <sheetViews>
    <sheetView tabSelected="1" workbookViewId="0">
      <selection activeCell="J15" sqref="J15"/>
    </sheetView>
  </sheetViews>
  <sheetFormatPr defaultRowHeight="16.5"/>
  <cols>
    <col min="1" max="1" width="15" customWidth="1"/>
    <col min="2" max="2" width="18.125" customWidth="1"/>
    <col min="3" max="3" width="10.375" customWidth="1"/>
    <col min="4" max="4" width="6.625" customWidth="1"/>
    <col min="6" max="6" width="11.125" customWidth="1"/>
    <col min="7" max="7" width="12.5" customWidth="1"/>
    <col min="8" max="8" width="12.75" customWidth="1"/>
    <col min="9" max="9" width="22.25" customWidth="1"/>
  </cols>
  <sheetData>
    <row r="1" spans="1:9" s="1" customFormat="1" ht="20.100000000000001" customHeight="1">
      <c r="A1" s="17" t="s">
        <v>38</v>
      </c>
      <c r="B1" s="12" t="s">
        <v>94</v>
      </c>
      <c r="C1" s="22" t="s">
        <v>39</v>
      </c>
      <c r="D1" s="22"/>
      <c r="E1" s="20" t="s">
        <v>59</v>
      </c>
      <c r="F1" s="24" t="s">
        <v>66</v>
      </c>
      <c r="G1" s="19" t="s">
        <v>63</v>
      </c>
      <c r="H1" s="18" t="s">
        <v>64</v>
      </c>
      <c r="I1" s="19" t="s">
        <v>65</v>
      </c>
    </row>
    <row r="2" spans="1:9" s="1" customFormat="1" ht="20.100000000000001" customHeight="1">
      <c r="A2" s="17" t="s">
        <v>40</v>
      </c>
      <c r="B2" s="12" t="s">
        <v>96</v>
      </c>
      <c r="C2" s="47" t="s">
        <v>41</v>
      </c>
      <c r="D2" s="48"/>
      <c r="E2" s="20" t="s">
        <v>95</v>
      </c>
      <c r="F2" s="24" t="s">
        <v>42</v>
      </c>
      <c r="G2" s="21" t="s">
        <v>96</v>
      </c>
      <c r="H2" s="21"/>
      <c r="I2" s="21"/>
    </row>
    <row r="3" spans="1:9" s="1" customFormat="1" ht="20.100000000000001" customHeight="1">
      <c r="A3" s="46" t="s">
        <v>43</v>
      </c>
      <c r="B3" s="23" t="s">
        <v>62</v>
      </c>
      <c r="C3" s="23"/>
      <c r="D3" s="23"/>
      <c r="E3" s="25"/>
      <c r="F3" s="24" t="s">
        <v>44</v>
      </c>
      <c r="G3" s="23"/>
      <c r="H3" s="23"/>
      <c r="I3" s="23"/>
    </row>
    <row r="4" spans="1:9" s="1" customFormat="1" ht="20.100000000000001" customHeight="1">
      <c r="B4" s="26"/>
      <c r="C4" s="26"/>
      <c r="D4" s="27"/>
      <c r="E4" s="27"/>
      <c r="F4" s="26"/>
      <c r="G4" s="26"/>
      <c r="H4" s="27"/>
      <c r="I4" s="28"/>
    </row>
    <row r="5" spans="1:9" s="1" customFormat="1" ht="20.100000000000001" customHeight="1">
      <c r="A5" s="29" t="s">
        <v>45</v>
      </c>
      <c r="B5" s="29" t="s">
        <v>46</v>
      </c>
      <c r="C5" s="29" t="s">
        <v>47</v>
      </c>
      <c r="D5" s="29" t="s">
        <v>48</v>
      </c>
      <c r="E5" s="29" t="s">
        <v>49</v>
      </c>
      <c r="F5" s="29" t="s">
        <v>50</v>
      </c>
      <c r="G5" s="29" t="s">
        <v>51</v>
      </c>
      <c r="H5" s="29" t="s">
        <v>52</v>
      </c>
      <c r="I5" s="30" t="s">
        <v>53</v>
      </c>
    </row>
    <row r="6" spans="1:9" s="1" customFormat="1" ht="20.100000000000001" customHeight="1">
      <c r="A6" s="12" t="s">
        <v>97</v>
      </c>
      <c r="B6" s="12" t="s">
        <v>105</v>
      </c>
      <c r="C6" s="12" t="s">
        <v>75</v>
      </c>
      <c r="D6" s="13">
        <v>10</v>
      </c>
      <c r="E6" s="13" t="s">
        <v>77</v>
      </c>
      <c r="F6" s="12"/>
      <c r="G6" s="12"/>
      <c r="H6" s="13"/>
      <c r="I6" s="31" t="s">
        <v>78</v>
      </c>
    </row>
    <row r="7" spans="1:9" s="1" customFormat="1" ht="20.100000000000001" customHeight="1">
      <c r="A7" s="12" t="s">
        <v>68</v>
      </c>
      <c r="B7" s="12" t="s">
        <v>106</v>
      </c>
      <c r="C7" s="12" t="s">
        <v>75</v>
      </c>
      <c r="D7" s="13">
        <v>10</v>
      </c>
      <c r="E7" s="13" t="s">
        <v>88</v>
      </c>
      <c r="F7" s="12" t="s">
        <v>58</v>
      </c>
      <c r="G7" s="12" t="s">
        <v>71</v>
      </c>
      <c r="H7" s="13"/>
      <c r="I7" s="31"/>
    </row>
    <row r="8" spans="1:9" s="1" customFormat="1" ht="20.100000000000001" customHeight="1">
      <c r="A8" s="12" t="s">
        <v>89</v>
      </c>
      <c r="B8" s="12" t="s">
        <v>107</v>
      </c>
      <c r="C8" s="12" t="s">
        <v>75</v>
      </c>
      <c r="D8" s="13">
        <v>10</v>
      </c>
      <c r="E8" s="13" t="s">
        <v>88</v>
      </c>
      <c r="F8" s="12" t="s">
        <v>83</v>
      </c>
      <c r="G8" s="12" t="s">
        <v>116</v>
      </c>
      <c r="H8" s="13"/>
      <c r="I8" s="31"/>
    </row>
    <row r="9" spans="1:9" s="1" customFormat="1" ht="20.100000000000001" customHeight="1">
      <c r="A9" s="12" t="s">
        <v>98</v>
      </c>
      <c r="B9" s="12" t="s">
        <v>108</v>
      </c>
      <c r="C9" s="12" t="s">
        <v>76</v>
      </c>
      <c r="D9" s="13">
        <v>50</v>
      </c>
      <c r="E9" s="13"/>
      <c r="F9" s="12"/>
      <c r="G9" s="12"/>
      <c r="H9" s="13"/>
      <c r="I9" s="31"/>
    </row>
    <row r="10" spans="1:9" s="1" customFormat="1" ht="20.100000000000001" customHeight="1">
      <c r="A10" s="12" t="s">
        <v>99</v>
      </c>
      <c r="B10" s="12" t="s">
        <v>109</v>
      </c>
      <c r="C10" s="12" t="s">
        <v>117</v>
      </c>
      <c r="D10" s="13"/>
      <c r="E10" s="13"/>
      <c r="F10" s="12"/>
      <c r="G10" s="12"/>
      <c r="H10" s="13"/>
      <c r="I10" s="31"/>
    </row>
    <row r="11" spans="1:9" s="1" customFormat="1" ht="20.100000000000001" customHeight="1">
      <c r="A11" s="12" t="s">
        <v>100</v>
      </c>
      <c r="B11" s="12" t="s">
        <v>110</v>
      </c>
      <c r="C11" s="12" t="s">
        <v>76</v>
      </c>
      <c r="D11" s="13">
        <v>10</v>
      </c>
      <c r="E11" s="13"/>
      <c r="F11" s="12"/>
      <c r="G11" s="12"/>
      <c r="H11" s="13"/>
      <c r="I11" s="31"/>
    </row>
    <row r="12" spans="1:9" s="1" customFormat="1" ht="20.100000000000001" customHeight="1">
      <c r="A12" s="12" t="s">
        <v>101</v>
      </c>
      <c r="B12" s="12" t="s">
        <v>111</v>
      </c>
      <c r="C12" s="12" t="s">
        <v>76</v>
      </c>
      <c r="D12" s="13">
        <v>8</v>
      </c>
      <c r="E12" s="13"/>
      <c r="F12" s="12"/>
      <c r="G12" s="12"/>
      <c r="H12" s="13"/>
      <c r="I12" s="31"/>
    </row>
    <row r="13" spans="1:9" s="1" customFormat="1" ht="20.100000000000001" customHeight="1">
      <c r="A13" s="12" t="s">
        <v>102</v>
      </c>
      <c r="B13" s="12" t="s">
        <v>112</v>
      </c>
      <c r="C13" s="12" t="s">
        <v>76</v>
      </c>
      <c r="D13" s="13">
        <v>50</v>
      </c>
      <c r="E13" s="13"/>
      <c r="F13" s="12"/>
      <c r="G13" s="12"/>
      <c r="H13" s="13"/>
      <c r="I13" s="31"/>
    </row>
    <row r="14" spans="1:9" s="1" customFormat="1" ht="20.100000000000001" customHeight="1">
      <c r="A14" s="12" t="s">
        <v>103</v>
      </c>
      <c r="B14" s="12" t="s">
        <v>113</v>
      </c>
      <c r="C14" s="12" t="s">
        <v>75</v>
      </c>
      <c r="D14" s="13">
        <v>10</v>
      </c>
      <c r="E14" s="13"/>
      <c r="F14" s="12"/>
      <c r="G14" s="12"/>
      <c r="H14" s="13">
        <v>0</v>
      </c>
      <c r="I14" s="31"/>
    </row>
    <row r="15" spans="1:9" s="1" customFormat="1" ht="20.100000000000001" customHeight="1">
      <c r="A15" s="12" t="s">
        <v>104</v>
      </c>
      <c r="B15" s="12" t="s">
        <v>114</v>
      </c>
      <c r="C15" s="12" t="s">
        <v>118</v>
      </c>
      <c r="D15" s="13">
        <v>8</v>
      </c>
      <c r="E15" s="13"/>
      <c r="F15" s="12"/>
      <c r="G15" s="12"/>
      <c r="H15" s="13"/>
      <c r="I15" s="31"/>
    </row>
    <row r="16" spans="1:9" s="1" customFormat="1" ht="20.100000000000001" customHeight="1">
      <c r="A16" s="12" t="s">
        <v>70</v>
      </c>
      <c r="B16" s="12" t="s">
        <v>115</v>
      </c>
      <c r="C16" s="12" t="s">
        <v>76</v>
      </c>
      <c r="D16" s="13">
        <v>1</v>
      </c>
      <c r="E16" s="13"/>
      <c r="F16" s="12"/>
      <c r="G16" s="12"/>
      <c r="H16" s="13" t="s">
        <v>35</v>
      </c>
      <c r="I16" s="31"/>
    </row>
    <row r="17" spans="1:9" s="1" customFormat="1" ht="20.100000000000001" customHeight="1">
      <c r="A17" s="12"/>
      <c r="B17" s="12"/>
      <c r="C17" s="12"/>
      <c r="D17" s="13"/>
      <c r="E17" s="13"/>
      <c r="F17" s="12"/>
      <c r="G17" s="12"/>
      <c r="H17" s="13"/>
      <c r="I17" s="31"/>
    </row>
    <row r="18" spans="1:9" s="1" customFormat="1" ht="20.100000000000001" customHeight="1">
      <c r="B18"/>
      <c r="C18"/>
      <c r="D18" s="2"/>
      <c r="E18" s="2"/>
      <c r="H18" s="2"/>
      <c r="I18" s="32"/>
    </row>
    <row r="19" spans="1:9" s="1" customFormat="1" ht="20.100000000000001" customHeight="1">
      <c r="A19" s="33" t="s">
        <v>49</v>
      </c>
      <c r="B19" s="33"/>
      <c r="C19" s="33"/>
      <c r="D19" s="34"/>
      <c r="E19" s="34"/>
      <c r="F19" s="35"/>
      <c r="G19" s="35"/>
      <c r="H19" s="36"/>
      <c r="I19" s="35"/>
    </row>
    <row r="20" spans="1:9" s="1" customFormat="1" ht="20.100000000000001" customHeight="1">
      <c r="A20" s="37" t="s">
        <v>54</v>
      </c>
      <c r="B20" s="38" t="s">
        <v>55</v>
      </c>
      <c r="C20" s="38"/>
      <c r="D20" s="38" t="s">
        <v>56</v>
      </c>
      <c r="E20" s="38"/>
      <c r="F20" s="38"/>
      <c r="G20" s="39"/>
      <c r="H20" s="40"/>
    </row>
    <row r="21" spans="1:9" s="1" customFormat="1" ht="20.100000000000001" customHeight="1">
      <c r="A21" s="12" t="s">
        <v>57</v>
      </c>
      <c r="B21" s="41" t="s">
        <v>119</v>
      </c>
      <c r="C21" s="41"/>
      <c r="D21" s="41" t="s">
        <v>120</v>
      </c>
      <c r="E21" s="41"/>
      <c r="F21" s="41"/>
      <c r="G21" s="42"/>
      <c r="H21" s="43"/>
      <c r="I21" s="32"/>
    </row>
    <row r="22" spans="1:9" s="1" customFormat="1" ht="20.100000000000001" customHeight="1">
      <c r="A22" s="12" t="s">
        <v>81</v>
      </c>
      <c r="B22" s="41" t="s">
        <v>121</v>
      </c>
      <c r="C22" s="41"/>
      <c r="D22" s="41" t="s">
        <v>122</v>
      </c>
      <c r="E22" s="41"/>
      <c r="F22" s="41"/>
      <c r="G22" s="42"/>
      <c r="H22" s="43"/>
      <c r="I22" s="32"/>
    </row>
    <row r="23" spans="1:9" s="1" customFormat="1" ht="20.100000000000001" customHeight="1">
      <c r="A23" s="12" t="s">
        <v>81</v>
      </c>
      <c r="B23" s="41" t="s">
        <v>123</v>
      </c>
      <c r="C23" s="41"/>
      <c r="D23" s="41" t="s">
        <v>107</v>
      </c>
      <c r="E23" s="41"/>
      <c r="F23" s="41"/>
      <c r="G23" s="42"/>
      <c r="H23" s="43"/>
      <c r="I23" s="32"/>
    </row>
    <row r="24" spans="1:9" s="1" customFormat="1" ht="20.100000000000001" customHeight="1">
      <c r="A24" s="12" t="s">
        <v>81</v>
      </c>
      <c r="B24" s="44" t="s">
        <v>124</v>
      </c>
      <c r="C24" s="49"/>
      <c r="D24" s="44" t="s">
        <v>112</v>
      </c>
      <c r="E24" s="45"/>
      <c r="F24" s="49"/>
      <c r="H24" s="2"/>
      <c r="I24" s="32"/>
    </row>
  </sheetData>
  <mergeCells count="16">
    <mergeCell ref="B23:C23"/>
    <mergeCell ref="D23:F23"/>
    <mergeCell ref="B24:C24"/>
    <mergeCell ref="D24:F24"/>
    <mergeCell ref="B20:C20"/>
    <mergeCell ref="D20:F20"/>
    <mergeCell ref="B21:C21"/>
    <mergeCell ref="D21:F21"/>
    <mergeCell ref="B22:C22"/>
    <mergeCell ref="D22:F22"/>
    <mergeCell ref="C1:D1"/>
    <mergeCell ref="C2:D2"/>
    <mergeCell ref="G2:I2"/>
    <mergeCell ref="B3:E3"/>
    <mergeCell ref="G3:I3"/>
    <mergeCell ref="A19:E19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테이블설계</vt:lpstr>
      <vt:lpstr>게시판분류</vt:lpstr>
      <vt:lpstr>게시판종류</vt:lpstr>
      <vt:lpstr>게시판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이광석</dc:creator>
  <cp:lastModifiedBy>이광석</cp:lastModifiedBy>
  <dcterms:created xsi:type="dcterms:W3CDTF">2015-08-17T08:32:13Z</dcterms:created>
  <dcterms:modified xsi:type="dcterms:W3CDTF">2015-08-18T14:57:19Z</dcterms:modified>
</cp:coreProperties>
</file>